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\Downloads\"/>
    </mc:Choice>
  </mc:AlternateContent>
  <xr:revisionPtr revIDLastSave="0" documentId="13_ncr:1_{6561F5A1-6657-4631-A081-2BFD6B66296D}" xr6:coauthVersionLast="47" xr6:coauthVersionMax="47" xr10:uidLastSave="{00000000-0000-0000-0000-000000000000}"/>
  <bookViews>
    <workbookView xWindow="-120" yWindow="-120" windowWidth="29040" windowHeight="15720" xr2:uid="{D74E95AC-4355-438E-9FC3-B5CD5564F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48" i="1"/>
  <c r="C47" i="1"/>
  <c r="C46" i="1"/>
  <c r="C43" i="1"/>
  <c r="C38" i="1"/>
  <c r="C35" i="1"/>
  <c r="C34" i="1"/>
  <c r="C30" i="1"/>
  <c r="C23" i="1"/>
  <c r="C19" i="1"/>
  <c r="C18" i="1"/>
  <c r="C14" i="1"/>
  <c r="C13" i="1"/>
  <c r="C12" i="1"/>
  <c r="C10" i="1"/>
</calcChain>
</file>

<file path=xl/sharedStrings.xml><?xml version="1.0" encoding="utf-8"?>
<sst xmlns="http://schemas.openxmlformats.org/spreadsheetml/2006/main" count="117" uniqueCount="69">
  <si>
    <t>Fish Name</t>
  </si>
  <si>
    <t>Packed Size</t>
  </si>
  <si>
    <t>Total Carton</t>
  </si>
  <si>
    <t>AYER/G/1 KG UP</t>
  </si>
  <si>
    <t>AYER/G/3 KG UP</t>
  </si>
  <si>
    <t>BAGH AYER/G/15 KG UP</t>
  </si>
  <si>
    <t>BAILA/CLN</t>
  </si>
  <si>
    <t>BOAL/G/2 KG UP</t>
  </si>
  <si>
    <t>BOAL/G/3 KG UP</t>
  </si>
  <si>
    <t>BOAL/G/10 KG UP</t>
  </si>
  <si>
    <t>CHITAL/WR/300 GM UP</t>
  </si>
  <si>
    <t>CHITAL/WR/500 GM UP</t>
  </si>
  <si>
    <t>CHITAL/WR/800 GM UP</t>
  </si>
  <si>
    <t>CHITAL/WR/1 KG UP</t>
  </si>
  <si>
    <t>CHITAL/WR/1.5 KG UP</t>
  </si>
  <si>
    <t>CHITAL/WR/2 KG UP</t>
  </si>
  <si>
    <t>CHITAL/WR/10 KG UP</t>
  </si>
  <si>
    <t>GULSHA/WR</t>
  </si>
  <si>
    <t>LONG BAIM/WR/16" UP</t>
  </si>
  <si>
    <t>LONG BAIM/WR/22" UP</t>
  </si>
  <si>
    <t>LONG BAIM/CLN/SO</t>
  </si>
  <si>
    <t>PABDA/WR/7" UP</t>
  </si>
  <si>
    <t>SINGHI/CLN</t>
  </si>
  <si>
    <t>TENGRA/WR</t>
  </si>
  <si>
    <t>HILSA/WR/600-800 G.</t>
  </si>
  <si>
    <t>HILSA/WR/1000-1200 G.</t>
  </si>
  <si>
    <t>HILSA/WR/1500-2000 G.</t>
  </si>
  <si>
    <t>PABDA/WR/6" UP</t>
  </si>
  <si>
    <t>PABDA/WR/9" UP</t>
  </si>
  <si>
    <t>PABDA/WR/10" UP</t>
  </si>
  <si>
    <t>PABDA/WR/12" UP</t>
  </si>
  <si>
    <t>DRY ANCHOVY</t>
  </si>
  <si>
    <t>DRY SHRIMP</t>
  </si>
  <si>
    <t>DRY SURI</t>
  </si>
  <si>
    <t>DRY RIVER PRAWNS</t>
  </si>
  <si>
    <t>DRY TENGRA FISH (SMALL)</t>
  </si>
  <si>
    <t>DRY SWEET WATER FISH</t>
  </si>
  <si>
    <t>DRY PABDA FISH</t>
  </si>
  <si>
    <t>DRY STARBAIM</t>
  </si>
  <si>
    <t>TENGRA/WR/5" UP</t>
  </si>
  <si>
    <t>SHOL WR/SHOL - CK CANADA</t>
  </si>
  <si>
    <t>SHOL/WR/1 KG UP</t>
  </si>
  <si>
    <t>KESKI/TRAY/2-5 cm/pcs</t>
  </si>
  <si>
    <t>KESKI/BLOCK/2-5 cm/pcs</t>
  </si>
  <si>
    <t>BAILA/CLN (MEX)/50-80gr/pcs</t>
  </si>
  <si>
    <t>KOI/WR/SO/150-200 GRP/PCS</t>
  </si>
  <si>
    <t>KOI/WR/0-UPGR/PCS</t>
  </si>
  <si>
    <t>KOI/CLN (MEX)/5-6 PCS</t>
  </si>
  <si>
    <t>KOI/CLN/8-11 PCS</t>
  </si>
  <si>
    <t>KOI/CLN/7-8 PCS</t>
  </si>
  <si>
    <t>KOI/CLN/8-10 PCS</t>
  </si>
  <si>
    <t>KOI/CLN/8-12 PCS</t>
  </si>
  <si>
    <t>KESKI/BLOCK - JAPAN-JBC/2-5CM/PCS</t>
  </si>
  <si>
    <t>Headless Shell Off Shrimp/Horina Chingri - USA/60PCS/KG</t>
  </si>
  <si>
    <t>Head On-Shell On Fresh Water  IQF Shrimp - USA/4-11PCS/TRAY</t>
  </si>
  <si>
    <t>20 KG</t>
  </si>
  <si>
    <t>17.4 KG</t>
  </si>
  <si>
    <t>10 KG</t>
  </si>
  <si>
    <t>15 KG</t>
  </si>
  <si>
    <t>13 KG</t>
  </si>
  <si>
    <t>14 KG</t>
  </si>
  <si>
    <t>12 KG</t>
  </si>
  <si>
    <t>16 KG</t>
  </si>
  <si>
    <t>DRY TANGRA</t>
  </si>
  <si>
    <t>9.5 KG</t>
  </si>
  <si>
    <t>6 KG</t>
  </si>
  <si>
    <t>6.25 KG</t>
  </si>
  <si>
    <t>8 KG</t>
  </si>
  <si>
    <t>11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</si>
</sst>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5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6">
    <dxf>
      <font>
        <b/>
        <strike val="0"/>
        <outline val="0"/>
        <shadow val="0"/>
        <u val="none"/>
        <vertAlign val="baseline"/>
        <sz val="15"/>
        <color theme="9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rgb="FF000000"/>
        <name val="Aptos Narrow"/>
        <family val="2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20D748-8788-4334-9DC9-699AEFDF0F7B}" name="Table13" displayName="Table13" ref="A1:C61" totalsRowShown="0" headerRowDxfId="5" dataDxfId="3" headerRowBorderDxfId="4">
  <autoFilter ref="A1:C61" xr:uid="{8920D748-8788-4334-9DC9-699AEFDF0F7B}"/>
  <tableColumns count="3">
    <tableColumn id="1" xr3:uid="{59884279-59E3-46C2-A863-5DC8F574E9C1}" name="Fish Name" dataDxfId="2"/>
    <tableColumn id="5" xr3:uid="{6F761833-3C14-4FE9-89D5-E68E05888854}" name="Packed Size" dataDxfId="1"/>
    <tableColumn id="2" xr3:uid="{E5855C97-35BC-4436-8FE9-2A8CA1D09B2C}" name="Total Cart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91D0-A969-4090-865A-4BDD95018052}">
  <dimension ref="A1:F62"/>
  <sheetViews>
    <sheetView tabSelected="1" workbookViewId="0">
      <selection activeCell="C1" sqref="C1"/>
    </sheetView>
  </sheetViews>
  <sheetFormatPr defaultRowHeight="15" x14ac:dyDescent="0.25"/>
  <cols>
    <col min="1" max="1" width="77.5703125" customWidth="1"/>
    <col min="2" max="2" width="26.28515625" customWidth="1"/>
    <col min="3" max="3" width="23.85546875" customWidth="1"/>
    <col min="4" max="4" width="18.5703125" customWidth="1"/>
    <col min="5" max="5" width="22.7109375" customWidth="1"/>
    <col min="6" max="6" width="23.28515625" customWidth="1"/>
  </cols>
  <sheetData>
    <row r="1" spans="1:6" ht="41.25" customHeight="1" x14ac:dyDescent="0.4">
      <c r="A1" s="1" t="s">
        <v>0</v>
      </c>
      <c r="B1" s="1" t="s">
        <v>1</v>
      </c>
      <c r="C1" s="1" t="s">
        <v>2</v>
      </c>
      <c r="E1" s="2"/>
      <c r="F1" s="3"/>
    </row>
    <row r="2" spans="1:6" ht="37.5" customHeight="1" x14ac:dyDescent="0.4">
      <c r="A2" s="4" t="s">
        <v>3</v>
      </c>
      <c r="B2" s="4" t="s">
        <v>55</v>
      </c>
      <c r="C2" s="5">
        <v>24</v>
      </c>
      <c r="E2" s="2"/>
      <c r="F2" s="3"/>
    </row>
    <row r="3" spans="1:6" ht="37.5" customHeight="1" x14ac:dyDescent="0.4">
      <c r="A3" s="4" t="s">
        <v>4</v>
      </c>
      <c r="B3" s="4" t="s">
        <v>55</v>
      </c>
      <c r="C3" s="5">
        <v>27</v>
      </c>
      <c r="E3" s="2"/>
      <c r="F3" s="3"/>
    </row>
    <row r="4" spans="1:6" ht="37.5" customHeight="1" x14ac:dyDescent="0.4">
      <c r="A4" s="4" t="s">
        <v>5</v>
      </c>
      <c r="B4" s="4" t="s">
        <v>56</v>
      </c>
      <c r="C4" s="5">
        <v>1</v>
      </c>
      <c r="E4" s="2"/>
      <c r="F4" s="3"/>
    </row>
    <row r="5" spans="1:6" ht="37.5" customHeight="1" x14ac:dyDescent="0.4">
      <c r="A5" s="4" t="s">
        <v>6</v>
      </c>
      <c r="B5" s="4" t="s">
        <v>57</v>
      </c>
      <c r="C5" s="5">
        <v>19</v>
      </c>
      <c r="E5" s="2"/>
      <c r="F5" s="3"/>
    </row>
    <row r="6" spans="1:6" ht="37.5" customHeight="1" x14ac:dyDescent="0.4">
      <c r="A6" s="4" t="s">
        <v>7</v>
      </c>
      <c r="B6" s="4" t="s">
        <v>55</v>
      </c>
      <c r="C6" s="5">
        <v>125</v>
      </c>
      <c r="E6" s="2"/>
      <c r="F6" s="3"/>
    </row>
    <row r="7" spans="1:6" ht="37.5" customHeight="1" x14ac:dyDescent="0.4">
      <c r="A7" s="4" t="s">
        <v>8</v>
      </c>
      <c r="B7" s="4" t="s">
        <v>55</v>
      </c>
      <c r="C7" s="5">
        <v>20</v>
      </c>
      <c r="E7" s="2"/>
      <c r="F7" s="3"/>
    </row>
    <row r="8" spans="1:6" ht="37.5" customHeight="1" x14ac:dyDescent="0.4">
      <c r="A8" s="4" t="s">
        <v>9</v>
      </c>
      <c r="B8" s="4" t="s">
        <v>55</v>
      </c>
      <c r="C8" s="5">
        <v>3</v>
      </c>
      <c r="E8" s="2"/>
      <c r="F8" s="3"/>
    </row>
    <row r="9" spans="1:6" ht="37.5" customHeight="1" x14ac:dyDescent="0.4">
      <c r="A9" s="4" t="s">
        <v>10</v>
      </c>
      <c r="B9" s="4" t="s">
        <v>55</v>
      </c>
      <c r="C9" s="5">
        <v>34</v>
      </c>
      <c r="E9" s="2"/>
      <c r="F9" s="3"/>
    </row>
    <row r="10" spans="1:6" ht="37.5" customHeight="1" x14ac:dyDescent="0.4">
      <c r="A10" s="4" t="s">
        <v>11</v>
      </c>
      <c r="B10" s="4" t="s">
        <v>55</v>
      </c>
      <c r="C10" s="5">
        <f>104+14</f>
        <v>118</v>
      </c>
      <c r="E10" s="2"/>
      <c r="F10" s="3"/>
    </row>
    <row r="11" spans="1:6" ht="37.5" customHeight="1" x14ac:dyDescent="0.4">
      <c r="A11" s="4" t="s">
        <v>12</v>
      </c>
      <c r="B11" s="4" t="s">
        <v>55</v>
      </c>
      <c r="C11" s="5">
        <v>6</v>
      </c>
      <c r="E11" s="2"/>
      <c r="F11" s="3"/>
    </row>
    <row r="12" spans="1:6" ht="37.5" customHeight="1" x14ac:dyDescent="0.4">
      <c r="A12" s="4" t="s">
        <v>13</v>
      </c>
      <c r="B12" s="4" t="s">
        <v>55</v>
      </c>
      <c r="C12" s="5">
        <f>99+57</f>
        <v>156</v>
      </c>
      <c r="E12" s="2"/>
      <c r="F12" s="3"/>
    </row>
    <row r="13" spans="1:6" ht="37.5" customHeight="1" x14ac:dyDescent="0.4">
      <c r="A13" s="4" t="s">
        <v>14</v>
      </c>
      <c r="B13" s="4" t="s">
        <v>55</v>
      </c>
      <c r="C13" s="5">
        <f>4+8</f>
        <v>12</v>
      </c>
      <c r="E13" s="2"/>
      <c r="F13" s="3"/>
    </row>
    <row r="14" spans="1:6" ht="37.5" customHeight="1" x14ac:dyDescent="0.4">
      <c r="A14" s="4" t="s">
        <v>15</v>
      </c>
      <c r="B14" s="4" t="s">
        <v>55</v>
      </c>
      <c r="C14" s="5">
        <f>28+2</f>
        <v>30</v>
      </c>
      <c r="E14" s="2"/>
      <c r="F14" s="3"/>
    </row>
    <row r="15" spans="1:6" ht="37.5" customHeight="1" x14ac:dyDescent="0.4">
      <c r="A15" s="4" t="s">
        <v>16</v>
      </c>
      <c r="B15" s="4" t="s">
        <v>55</v>
      </c>
      <c r="C15" s="5">
        <v>2</v>
      </c>
      <c r="E15" s="2"/>
      <c r="F15" s="3"/>
    </row>
    <row r="16" spans="1:6" ht="37.5" customHeight="1" x14ac:dyDescent="0.4">
      <c r="A16" s="4" t="s">
        <v>15</v>
      </c>
      <c r="B16" s="4" t="s">
        <v>55</v>
      </c>
      <c r="C16" s="5">
        <v>1</v>
      </c>
      <c r="E16" s="3"/>
      <c r="F16" s="3"/>
    </row>
    <row r="17" spans="1:3" ht="37.5" customHeight="1" x14ac:dyDescent="0.3">
      <c r="A17" s="4" t="s">
        <v>17</v>
      </c>
      <c r="B17" s="4" t="s">
        <v>57</v>
      </c>
      <c r="C17" s="5">
        <v>63</v>
      </c>
    </row>
    <row r="18" spans="1:3" ht="37.5" customHeight="1" x14ac:dyDescent="0.3">
      <c r="A18" s="4" t="s">
        <v>18</v>
      </c>
      <c r="B18" s="4" t="s">
        <v>55</v>
      </c>
      <c r="C18" s="5">
        <f>5+135</f>
        <v>140</v>
      </c>
    </row>
    <row r="19" spans="1:3" ht="37.5" customHeight="1" x14ac:dyDescent="0.3">
      <c r="A19" s="4" t="s">
        <v>19</v>
      </c>
      <c r="B19" s="4" t="s">
        <v>57</v>
      </c>
      <c r="C19" s="5">
        <f>3+25</f>
        <v>28</v>
      </c>
    </row>
    <row r="20" spans="1:3" ht="37.5" customHeight="1" x14ac:dyDescent="0.3">
      <c r="A20" s="4" t="s">
        <v>20</v>
      </c>
      <c r="B20" s="4" t="s">
        <v>57</v>
      </c>
      <c r="C20" s="5">
        <v>160</v>
      </c>
    </row>
    <row r="21" spans="1:3" ht="37.5" customHeight="1" x14ac:dyDescent="0.3">
      <c r="A21" s="4" t="s">
        <v>21</v>
      </c>
      <c r="B21" s="4" t="s">
        <v>55</v>
      </c>
      <c r="C21" s="5">
        <v>10</v>
      </c>
    </row>
    <row r="22" spans="1:3" ht="37.5" customHeight="1" x14ac:dyDescent="0.3">
      <c r="A22" s="4" t="s">
        <v>22</v>
      </c>
      <c r="B22" s="4" t="s">
        <v>57</v>
      </c>
      <c r="C22" s="5">
        <v>167</v>
      </c>
    </row>
    <row r="23" spans="1:3" ht="37.5" customHeight="1" x14ac:dyDescent="0.3">
      <c r="A23" s="4" t="s">
        <v>23</v>
      </c>
      <c r="B23" s="4" t="s">
        <v>57</v>
      </c>
      <c r="C23" s="5">
        <f>1+1</f>
        <v>2</v>
      </c>
    </row>
    <row r="24" spans="1:3" ht="37.5" customHeight="1" x14ac:dyDescent="0.3">
      <c r="A24" s="4"/>
      <c r="B24" s="4"/>
      <c r="C24" s="5"/>
    </row>
    <row r="25" spans="1:3" ht="37.5" customHeight="1" x14ac:dyDescent="0.3">
      <c r="A25" s="4" t="s">
        <v>24</v>
      </c>
      <c r="B25" s="4" t="s">
        <v>55</v>
      </c>
      <c r="C25" s="5">
        <v>11</v>
      </c>
    </row>
    <row r="26" spans="1:3" ht="37.5" customHeight="1" x14ac:dyDescent="0.3">
      <c r="A26" s="4" t="s">
        <v>25</v>
      </c>
      <c r="B26" s="4" t="s">
        <v>55</v>
      </c>
      <c r="C26" s="5">
        <v>9</v>
      </c>
    </row>
    <row r="27" spans="1:3" ht="37.5" customHeight="1" x14ac:dyDescent="0.3">
      <c r="A27" s="4" t="s">
        <v>26</v>
      </c>
      <c r="B27" s="4" t="s">
        <v>55</v>
      </c>
      <c r="C27" s="5">
        <v>8</v>
      </c>
    </row>
    <row r="28" spans="1:3" ht="37.5" customHeight="1" x14ac:dyDescent="0.3">
      <c r="A28" s="4"/>
      <c r="B28" s="4"/>
      <c r="C28" s="5"/>
    </row>
    <row r="29" spans="1:3" ht="37.5" customHeight="1" x14ac:dyDescent="0.3">
      <c r="A29" s="4" t="s">
        <v>27</v>
      </c>
      <c r="B29" s="4" t="s">
        <v>57</v>
      </c>
      <c r="C29" s="5">
        <v>102</v>
      </c>
    </row>
    <row r="30" spans="1:3" ht="37.5" customHeight="1" x14ac:dyDescent="0.3">
      <c r="A30" s="4" t="s">
        <v>21</v>
      </c>
      <c r="B30" s="4" t="s">
        <v>57</v>
      </c>
      <c r="C30" s="5">
        <f>591+1438</f>
        <v>2029</v>
      </c>
    </row>
    <row r="31" spans="1:3" ht="37.5" customHeight="1" x14ac:dyDescent="0.3">
      <c r="A31" s="4" t="s">
        <v>28</v>
      </c>
      <c r="B31" s="4" t="s">
        <v>57</v>
      </c>
      <c r="C31" s="5">
        <v>63</v>
      </c>
    </row>
    <row r="32" spans="1:3" ht="37.5" customHeight="1" x14ac:dyDescent="0.3">
      <c r="A32" s="4" t="s">
        <v>29</v>
      </c>
      <c r="B32" s="4" t="s">
        <v>57</v>
      </c>
      <c r="C32" s="5">
        <v>198</v>
      </c>
    </row>
    <row r="33" spans="1:3" ht="37.5" customHeight="1" x14ac:dyDescent="0.3">
      <c r="A33" s="4" t="s">
        <v>30</v>
      </c>
      <c r="B33" s="4" t="s">
        <v>57</v>
      </c>
      <c r="C33" s="5">
        <v>2</v>
      </c>
    </row>
    <row r="34" spans="1:3" ht="37.5" customHeight="1" x14ac:dyDescent="0.3">
      <c r="A34" s="4" t="s">
        <v>31</v>
      </c>
      <c r="B34" s="4" t="s">
        <v>58</v>
      </c>
      <c r="C34" s="5">
        <f>2+365</f>
        <v>367</v>
      </c>
    </row>
    <row r="35" spans="1:3" ht="37.5" customHeight="1" x14ac:dyDescent="0.3">
      <c r="A35" s="4" t="s">
        <v>32</v>
      </c>
      <c r="B35" s="4" t="s">
        <v>59</v>
      </c>
      <c r="C35" s="5">
        <f>3+136</f>
        <v>139</v>
      </c>
    </row>
    <row r="36" spans="1:3" ht="37.5" customHeight="1" x14ac:dyDescent="0.3">
      <c r="A36" s="4" t="s">
        <v>33</v>
      </c>
      <c r="B36" s="4" t="s">
        <v>60</v>
      </c>
      <c r="C36" s="5">
        <v>52</v>
      </c>
    </row>
    <row r="37" spans="1:3" ht="37.5" customHeight="1" x14ac:dyDescent="0.3">
      <c r="A37" s="4" t="s">
        <v>34</v>
      </c>
      <c r="B37" s="4" t="s">
        <v>61</v>
      </c>
      <c r="C37" s="5">
        <v>1</v>
      </c>
    </row>
    <row r="38" spans="1:3" ht="37.5" customHeight="1" x14ac:dyDescent="0.3">
      <c r="A38" s="4" t="s">
        <v>63</v>
      </c>
      <c r="B38" s="4" t="s">
        <v>59</v>
      </c>
      <c r="C38" s="5">
        <f>118+241</f>
        <v>359</v>
      </c>
    </row>
    <row r="39" spans="1:3" ht="37.5" customHeight="1" x14ac:dyDescent="0.3">
      <c r="A39" s="4" t="s">
        <v>35</v>
      </c>
      <c r="B39" s="4" t="s">
        <v>62</v>
      </c>
      <c r="C39" s="5">
        <v>2</v>
      </c>
    </row>
    <row r="40" spans="1:3" ht="37.5" customHeight="1" x14ac:dyDescent="0.3">
      <c r="A40" s="4" t="s">
        <v>36</v>
      </c>
      <c r="B40" s="4" t="s">
        <v>59</v>
      </c>
      <c r="C40" s="5">
        <v>40</v>
      </c>
    </row>
    <row r="41" spans="1:3" ht="37.5" customHeight="1" x14ac:dyDescent="0.3">
      <c r="A41" s="4" t="s">
        <v>37</v>
      </c>
      <c r="B41" s="4" t="s">
        <v>57</v>
      </c>
      <c r="C41" s="5">
        <v>2</v>
      </c>
    </row>
    <row r="42" spans="1:3" ht="37.5" customHeight="1" x14ac:dyDescent="0.3">
      <c r="A42" s="4" t="s">
        <v>38</v>
      </c>
      <c r="B42" s="4" t="s">
        <v>64</v>
      </c>
      <c r="C42" s="5">
        <v>1</v>
      </c>
    </row>
    <row r="43" spans="1:3" ht="37.5" customHeight="1" x14ac:dyDescent="0.3">
      <c r="A43" s="4" t="s">
        <v>39</v>
      </c>
      <c r="B43" s="4" t="s">
        <v>57</v>
      </c>
      <c r="C43" s="5">
        <f>711+962</f>
        <v>1673</v>
      </c>
    </row>
    <row r="44" spans="1:3" ht="37.5" customHeight="1" x14ac:dyDescent="0.3">
      <c r="A44" s="4"/>
      <c r="B44" s="4"/>
      <c r="C44" s="5"/>
    </row>
    <row r="45" spans="1:3" ht="37.5" customHeight="1" x14ac:dyDescent="0.3">
      <c r="A45" s="4" t="s">
        <v>40</v>
      </c>
      <c r="B45" s="4" t="s">
        <v>55</v>
      </c>
      <c r="C45" s="5">
        <v>151</v>
      </c>
    </row>
    <row r="46" spans="1:3" ht="37.5" customHeight="1" x14ac:dyDescent="0.3">
      <c r="A46" s="4" t="s">
        <v>41</v>
      </c>
      <c r="B46" s="4" t="s">
        <v>55</v>
      </c>
      <c r="C46" s="5">
        <f>176+101</f>
        <v>277</v>
      </c>
    </row>
    <row r="47" spans="1:3" ht="37.5" customHeight="1" x14ac:dyDescent="0.3">
      <c r="A47" s="4" t="s">
        <v>42</v>
      </c>
      <c r="B47" s="4" t="s">
        <v>65</v>
      </c>
      <c r="C47" s="5">
        <f>15+15</f>
        <v>30</v>
      </c>
    </row>
    <row r="48" spans="1:3" ht="37.5" customHeight="1" x14ac:dyDescent="0.3">
      <c r="A48" s="4" t="s">
        <v>43</v>
      </c>
      <c r="B48" s="4" t="s">
        <v>66</v>
      </c>
      <c r="C48" s="5">
        <f>13+15</f>
        <v>28</v>
      </c>
    </row>
    <row r="49" spans="1:3" ht="37.5" customHeight="1" x14ac:dyDescent="0.3">
      <c r="A49" s="4" t="s">
        <v>44</v>
      </c>
      <c r="B49" s="4" t="s">
        <v>57</v>
      </c>
      <c r="C49" s="5">
        <v>100</v>
      </c>
    </row>
    <row r="50" spans="1:3" ht="37.5" customHeight="1" x14ac:dyDescent="0.3">
      <c r="A50" s="4" t="s">
        <v>45</v>
      </c>
      <c r="B50" s="4" t="s">
        <v>57</v>
      </c>
      <c r="C50" s="5">
        <v>90</v>
      </c>
    </row>
    <row r="51" spans="1:3" ht="37.5" customHeight="1" x14ac:dyDescent="0.3">
      <c r="A51" s="4" t="s">
        <v>46</v>
      </c>
      <c r="B51" s="4" t="s">
        <v>57</v>
      </c>
      <c r="C51" s="5">
        <v>5</v>
      </c>
    </row>
    <row r="52" spans="1:3" ht="37.5" customHeight="1" x14ac:dyDescent="0.3">
      <c r="A52" s="4" t="s">
        <v>47</v>
      </c>
      <c r="B52" s="4" t="s">
        <v>57</v>
      </c>
      <c r="C52" s="5">
        <v>50</v>
      </c>
    </row>
    <row r="53" spans="1:3" ht="37.5" customHeight="1" x14ac:dyDescent="0.3">
      <c r="A53" s="4" t="s">
        <v>48</v>
      </c>
      <c r="B53" s="4" t="s">
        <v>57</v>
      </c>
      <c r="C53" s="5">
        <v>86</v>
      </c>
    </row>
    <row r="54" spans="1:3" ht="37.5" customHeight="1" x14ac:dyDescent="0.3">
      <c r="A54" s="4" t="s">
        <v>49</v>
      </c>
      <c r="B54" s="4" t="s">
        <v>57</v>
      </c>
      <c r="C54" s="5">
        <v>57</v>
      </c>
    </row>
    <row r="55" spans="1:3" ht="37.5" customHeight="1" x14ac:dyDescent="0.3">
      <c r="A55" s="4" t="s">
        <v>50</v>
      </c>
      <c r="B55" s="4" t="s">
        <v>67</v>
      </c>
      <c r="C55" s="5">
        <f>294+250</f>
        <v>544</v>
      </c>
    </row>
    <row r="56" spans="1:3" ht="37.5" customHeight="1" x14ac:dyDescent="0.3">
      <c r="A56" s="4" t="s">
        <v>48</v>
      </c>
      <c r="B56" s="4" t="s">
        <v>57</v>
      </c>
      <c r="C56" s="5">
        <f>47+160+213+14</f>
        <v>434</v>
      </c>
    </row>
    <row r="57" spans="1:3" ht="37.5" customHeight="1" x14ac:dyDescent="0.3">
      <c r="A57" s="4" t="s">
        <v>51</v>
      </c>
      <c r="B57" s="4" t="s">
        <v>57</v>
      </c>
      <c r="C57" s="5">
        <v>50</v>
      </c>
    </row>
    <row r="58" spans="1:3" ht="37.5" customHeight="1" x14ac:dyDescent="0.3">
      <c r="A58" s="4" t="s">
        <v>52</v>
      </c>
      <c r="B58" s="4" t="s">
        <v>65</v>
      </c>
      <c r="C58" s="5">
        <v>130</v>
      </c>
    </row>
    <row r="59" spans="1:3" ht="37.5" customHeight="1" x14ac:dyDescent="0.3">
      <c r="A59" s="4" t="s">
        <v>52</v>
      </c>
      <c r="B59" s="4" t="s">
        <v>65</v>
      </c>
      <c r="C59" s="5">
        <v>19</v>
      </c>
    </row>
    <row r="60" spans="1:3" ht="37.5" customHeight="1" x14ac:dyDescent="0.3">
      <c r="A60" s="4" t="s">
        <v>53</v>
      </c>
      <c r="B60" s="4" t="s">
        <v>68</v>
      </c>
      <c r="C60" s="5">
        <v>104</v>
      </c>
    </row>
    <row r="61" spans="1:3" ht="37.5" customHeight="1" x14ac:dyDescent="0.3">
      <c r="A61" s="4" t="s">
        <v>54</v>
      </c>
      <c r="B61" s="4" t="s">
        <v>65</v>
      </c>
      <c r="C61" s="5">
        <v>7</v>
      </c>
    </row>
    <row r="62" spans="1:3" ht="27.75" customHeight="1" x14ac:dyDescent="0.3">
      <c r="A62" s="4"/>
      <c r="B62" s="4"/>
      <c r="C6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 Khant Ag</dc:creator>
  <cp:lastModifiedBy>Zwe Khant Ag</cp:lastModifiedBy>
  <dcterms:created xsi:type="dcterms:W3CDTF">2025-08-27T05:57:34Z</dcterms:created>
  <dcterms:modified xsi:type="dcterms:W3CDTF">2025-08-27T08:35:11Z</dcterms:modified>
</cp:coreProperties>
</file>